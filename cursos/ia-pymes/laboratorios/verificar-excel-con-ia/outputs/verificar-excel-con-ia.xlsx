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d1d00d723243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MPIEZA AQUI" sheetId="1" r:id="R8254c7242f304222"/>
    <x:sheet xmlns:r="http://schemas.openxmlformats.org/officeDocument/2006/relationships" name="Ventas" sheetId="2" r:id="R3f17c0cb64bf4272"/>
    <x:sheet xmlns:r="http://schemas.openxmlformats.org/officeDocument/2006/relationships" name="Control" sheetId="3" r:id="R0711927cdf1841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€#,##0.00"/>
    <x:numFmt numFmtId="202" formatCode="0%"/>
  </x:numFmts>
  <x:fonts count="18">
    <x:font>
      <x:sz val="11"/>
      <x:name val="Carlito"/>
    </x:font>
    <x:font>
      <x:b/>
      <x:sz val="20"/>
      <x:color rgb="FFFFFFFF"/>
      <x:name val="Carlito"/>
    </x:font>
    <x:font>
      <x:b/>
      <x:sz val="12"/>
      <x:color rgb="FF172554"/>
      <x:name val="Carlito"/>
    </x:font>
    <x:font>
      <x:b/>
      <x:sz val="11"/>
      <x:color rgb="FFFFFFFF"/>
      <x:name val="Carlito"/>
    </x:font>
    <x:font>
      <x:b/>
      <x:sz val="11"/>
      <x:color rgb="FF2563EB"/>
      <x:name val="Carlito"/>
    </x:font>
    <x:font>
      <x:b/>
      <x:sz val="11"/>
      <x:color rgb="FF92400E"/>
      <x:name val="Carlito"/>
    </x:font>
    <x:font>
      <x:b/>
      <x:sz val="11"/>
      <x:color rgb="FF172554"/>
      <x:name val="Carlito"/>
    </x:font>
    <x:font>
      <x:sz val="9"/>
      <x:color rgb="FF475569"/>
      <x:name val="Carlito"/>
    </x:font>
    <x:font>
      <x:b/>
      <x:sz val="20"/>
      <x:color rgb="FFFFFFFF"/>
      <x:name val="Aptos"/>
    </x:font>
    <x:font>
      <x:sz val="11"/>
      <x:name val="Aptos"/>
    </x:font>
    <x:font>
      <x:b/>
      <x:sz val="12"/>
      <x:color rgb="FF172554"/>
      <x:name val="Aptos"/>
    </x:font>
    <x:font>
      <x:b/>
      <x:sz val="11"/>
      <x:color rgb="FFFFFFFF"/>
      <x:name val="Aptos"/>
    </x:font>
    <x:font>
      <x:b/>
      <x:sz val="11"/>
      <x:color rgb="FF2563EB"/>
      <x:name val="Aptos"/>
    </x:font>
    <x:font>
      <x:b/>
      <x:sz val="11"/>
      <x:color rgb="FF92400E"/>
      <x:name val="Aptos"/>
    </x:font>
    <x:font>
      <x:b/>
      <x:sz val="11"/>
      <x:color rgb="FF172554"/>
      <x:name val="Aptos"/>
    </x:font>
    <x:font>
      <x:sz val="9"/>
      <x:color rgb="FF475569"/>
      <x:name val="Aptos"/>
    </x:font>
    <x:font>
      <x:b/>
      <x:sz val="18"/>
      <x:color rgb="FFFFFFFF"/>
      <x:name val="Carlito"/>
    </x:font>
    <x:font>
      <x:b/>
      <x:sz val="18"/>
      <x:color rgb="FFFFFFFF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72554"/>
      </x:patternFill>
    </x:fill>
    <x:fill>
      <x:patternFill patternType="solid">
        <x:fgColor rgb="FFEFF6FF"/>
      </x:patternFill>
    </x:fill>
    <x:fill>
      <x:patternFill patternType="solid">
        <x:fgColor rgb="FF2563EB"/>
      </x:patternFill>
    </x:fill>
    <x:fill>
      <x:patternFill patternType="solid">
        <x:fgColor rgb="FFFEF3C7"/>
      </x:patternFill>
    </x:fill>
    <x:fill>
      <x:patternFill patternType="solid">
        <x:fgColor rgb="FFF8FAFC"/>
      </x:patternFill>
    </x:fill>
    <x:fill>
      <x:patternFill patternType="solid">
        <x:fgColor rgb="FFDCFCE7"/>
      </x:patternFill>
    </x:fill>
  </x:fills>
  <x:borders count="11">
    <x:border/>
    <x:border>
      <x:bottom style="double">
        <x:color rgb="FF2563EB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right style="thin">
        <x:color rgb="FFCBD5E1"/>
      </x:right>
      <x:top style="thin">
        <x:color rgb="FFCBD5E1"/>
      </x:top>
    </x:border>
    <x:border>
      <x:left style="thin">
        <x:color rgb="FFCBD5E1"/>
      </x:left>
      <x:top style="thin">
        <x:color rgb="FFCBD5E1"/>
      </x:top>
    </x:border>
  </x:borders>
  <x:cellStyleXfs count="1">
    <x:xf numFmtId="0" fontId="0" fillId="0" borderId="0"/>
  </x:cellStyleXfs>
  <x:cellXfs count="7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6" fillId="0" borderId="0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top" wrapText="1"/>
    </x:xf>
    <x:xf numFmtId="0" fontId="8" fillId="2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/>
    <x:xf numFmtId="0" fontId="10" fillId="3" borderId="0" xfId="0" applyNumberFormat="1" applyFont="1" applyFill="1" applyBorder="1" applyAlignment="1">
      <x:alignment wrapText="1"/>
    </x:xf>
    <x:xf numFmtId="0" fontId="11" fillId="4" borderId="0" xfId="0" applyNumberFormat="1" applyFont="1" applyFill="1" applyBorder="1"/>
    <x:xf numFmtId="0" fontId="12" fillId="3" borderId="0" xfId="0" applyNumberFormat="1" applyFont="1" applyFill="1" applyBorder="1" applyAlignment="1">
      <x:alignment horizontal="center"/>
    </x:xf>
    <x:xf numFmtId="0" fontId="9" fillId="0" borderId="0" xfId="0" applyNumberFormat="1" applyFont="1" applyFill="1" applyBorder="1" applyAlignment="1">
      <x:alignment wrapText="1"/>
    </x:xf>
    <x:xf numFmtId="0" fontId="13" fillId="5" borderId="0" xfId="0" applyNumberFormat="1" applyFont="1" applyFill="1" applyBorder="1" applyAlignment="1">
      <x:alignment wrapText="1"/>
    </x:xf>
    <x:xf numFmtId="0" fontId="11" fillId="2" borderId="0" xfId="0" applyNumberFormat="1" applyFont="1" applyFill="1" applyBorder="1"/>
    <x:xf numFmtId="0" fontId="14" fillId="0" borderId="0" xfId="0" applyNumberFormat="1" applyFont="1" applyFill="1" applyBorder="1"/>
    <x:xf numFmtId="0" fontId="15" fillId="6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200" fontId="0" fillId="6" borderId="0" xfId="0" applyNumberFormat="1" applyFont="1" applyFill="1" applyBorder="1"/>
    <x:xf numFmtId="201" fontId="0" fillId="6" borderId="0" xfId="0" applyNumberFormat="1" applyFont="1" applyFill="1" applyBorder="1"/>
    <x:xf numFmtId="202" fontId="0" fillId="6" borderId="0" xfId="0" applyNumberFormat="1" applyFont="1" applyFill="1" applyBorder="1"/>
    <x:xf numFmtId="201" fontId="0" fillId="5" borderId="0" xfId="0" applyNumberFormat="1" applyFont="1" applyFill="1" applyBorder="1"/>
    <x:xf numFmtId="201" fontId="0" fillId="7" borderId="0" xfId="0" applyNumberFormat="1" applyFont="1" applyFill="1" applyBorder="1"/>
    <x:xf numFmtId="201" fontId="6" fillId="3" borderId="1" xfId="0" applyNumberFormat="1" applyFont="1" applyFill="1" applyBorder="1"/>
    <x:xf numFmtId="0" fontId="11" fillId="2" borderId="0" xfId="0" applyNumberFormat="1" applyFont="1" applyFill="1" applyBorder="1" applyAlignment="1">
      <x:alignment wrapText="1"/>
    </x:xf>
    <x:xf numFmtId="0" fontId="9" fillId="6" borderId="0" xfId="0" applyNumberFormat="1" applyFont="1" applyFill="1" applyBorder="1"/>
    <x:xf numFmtId="200" fontId="9" fillId="6" borderId="0" xfId="0" applyNumberFormat="1" applyFont="1" applyFill="1" applyBorder="1"/>
    <x:xf numFmtId="201" fontId="9" fillId="6" borderId="0" xfId="0" applyNumberFormat="1" applyFont="1" applyFill="1" applyBorder="1"/>
    <x:xf numFmtId="202" fontId="9" fillId="6" borderId="0" xfId="0" applyNumberFormat="1" applyFont="1" applyFill="1" applyBorder="1"/>
    <x:xf numFmtId="201" fontId="9" fillId="5" borderId="0" xfId="0" applyNumberFormat="1" applyFont="1" applyFill="1" applyBorder="1"/>
    <x:xf numFmtId="201" fontId="9" fillId="7" borderId="0" xfId="0" applyNumberFormat="1" applyFont="1" applyFill="1" applyBorder="1"/>
    <x:xf numFmtId="0" fontId="14" fillId="3" borderId="1" xfId="0" applyNumberFormat="1" applyFont="1" applyFill="1" applyBorder="1"/>
    <x:xf numFmtId="201" fontId="14" fillId="3" borderId="1" xfId="0" applyNumberFormat="1" applyFont="1" applyFill="1" applyBorder="1"/>
    <x:xf numFmtId="0" fontId="16" fillId="2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201" fontId="0" fillId="0" borderId="3" xfId="0" applyNumberFormat="1" applyFont="1" applyFill="1" applyBorder="1"/>
    <x:xf numFmtId="201" fontId="0" fillId="0" borderId="6" xfId="0" applyNumberFormat="1" applyFont="1" applyFill="1" applyBorder="1"/>
    <x:xf numFmtId="201" fontId="0" fillId="0" borderId="9" xfId="0" applyNumberFormat="1" applyFont="1" applyFill="1" applyBorder="1"/>
    <x:xf numFmtId="0" fontId="17" fillId="2" borderId="0" xfId="0" applyNumberFormat="1" applyFont="1" applyFill="1" applyBorder="1"/>
    <x:xf numFmtId="0" fontId="11" fillId="4" borderId="0" xfId="0" applyNumberFormat="1" applyFont="1" applyFill="1" applyBorder="1" applyAlignment="1">
      <x:alignment wrapText="1"/>
    </x:xf>
    <x:xf numFmtId="0" fontId="9" fillId="0" borderId="2" xfId="0" applyNumberFormat="1" applyFont="1" applyFill="1" applyBorder="1"/>
    <x:xf numFmtId="201" fontId="9" fillId="0" borderId="3" xfId="0" applyNumberFormat="1" applyFont="1" applyFill="1" applyBorder="1"/>
    <x:xf numFmtId="0" fontId="9" fillId="0" borderId="3" xfId="0" applyNumberFormat="1" applyFont="1" applyFill="1" applyBorder="1"/>
    <x:xf numFmtId="0" fontId="9" fillId="0" borderId="4" xfId="0" applyNumberFormat="1" applyFont="1" applyFill="1" applyBorder="1"/>
    <x:xf numFmtId="0" fontId="9" fillId="0" borderId="5" xfId="0" applyNumberFormat="1" applyFont="1" applyFill="1" applyBorder="1"/>
    <x:xf numFmtId="201" fontId="9" fillId="0" borderId="6" xfId="0" applyNumberFormat="1" applyFont="1" applyFill="1" applyBorder="1"/>
    <x:xf numFmtId="0" fontId="9" fillId="0" borderId="6" xfId="0" applyNumberFormat="1" applyFont="1" applyFill="1" applyBorder="1"/>
    <x:xf numFmtId="0" fontId="9" fillId="0" borderId="7" xfId="0" applyNumberFormat="1" applyFont="1" applyFill="1" applyBorder="1"/>
    <x:xf numFmtId="0" fontId="9" fillId="0" borderId="8" xfId="0" applyNumberFormat="1" applyFont="1" applyFill="1" applyBorder="1"/>
    <x:xf numFmtId="201" fontId="9" fillId="0" borderId="9" xfId="0" applyNumberFormat="1" applyFont="1" applyFill="1" applyBorder="1"/>
    <x:xf numFmtId="0" fontId="9" fillId="0" borderId="9" xfId="0" applyNumberFormat="1" applyFont="1" applyFill="1" applyBorder="1"/>
    <x:xf numFmtId="0" fontId="9" fillId="0" borderId="10" xfId="0" applyNumberFormat="1" applyFont="1" applyFill="1" applyBorder="1"/>
  </x:cellXfs>
  <x:cellStyles count="1">
    <x:cellStyle name="Normal" xfId="0"/>
  </x:cellStyles>
  <x:dxfs count="4"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accd46bade4f10" /><Relationship Type="http://schemas.openxmlformats.org/officeDocument/2006/relationships/theme" Target="/xl/theme/theme1.xml" Id="R1f1d987386b549bb" /><Relationship Type="http://schemas.openxmlformats.org/officeDocument/2006/relationships/sharedStrings" Target="/xl/sharedStrings.xml" Id="R878b12a05f354f47" /><Relationship Type="http://schemas.openxmlformats.org/officeDocument/2006/relationships/worksheet" Target="/xl/worksheets/sheet1.xml" Id="R8254c7242f304222" /><Relationship Type="http://schemas.openxmlformats.org/officeDocument/2006/relationships/worksheet" Target="/xl/worksheets/sheet2.xml" Id="R3f17c0cb64bf4272" /><Relationship Type="http://schemas.openxmlformats.org/officeDocument/2006/relationships/worksheet" Target="/xl/worksheets/sheet3.xml" Id="R0711927cdf184153" /></Relationships>
</file>

<file path=xl/tables/table1.xml><?xml version="1.0" encoding="utf-8"?>
<x:table xmlns:x="http://schemas.openxmlformats.org/spreadsheetml/2006/main" id="1" name="VentasDemo" displayName="VentasDemo" ref="A1:M13" headerRowCount="1" totalsRowCount="0" totalsRowShown="0">
  <x:tableColumns count="13">
    <x:tableColumn id="1" name="ID ficticio"/>
    <x:tableColumn id="2" name="Fecha"/>
    <x:tableColumn id="3" name="Región"/>
    <x:tableColumn id="4" name="Producto"/>
    <x:tableColumn id="5" name="Unidades"/>
    <x:tableColumn id="6" name="Precio"/>
    <x:tableColumn id="7" name="Coste/u"/>
    <x:tableColumn id="8" name="Descuento"/>
    <x:tableColumn id="9" name="Ventas propuesta IA"/>
    <x:tableColumn id="10" name="Ventas verificadas"/>
    <x:tableColumn id="11" name="Margen propuesta IA"/>
    <x:tableColumn id="12" name="Margen verificado"/>
    <x:tableColumn id="13" name="Contro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2bb716ca5e7496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67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>
      <x:c r="A1" s="21" t="str">
        <x:v>Laboratorio: verificar Excel con IA</x:v>
      </x:c>
      <x:c r="B1" s="21"/>
      <x:c r="C1" s="21"/>
      <x:c r="D1" s="21"/>
      <x:c r="E1" s="21"/>
      <x:c r="F1" s="21"/>
      <x:c r="G1" s="21"/>
      <x:c r="H1" s="21"/>
    </x:row>
    <x:row r="2">
      <x:c r="A2" s="21"/>
      <x:c r="B2" s="21"/>
      <x:c r="C2" s="21"/>
      <x:c r="D2" s="21"/>
      <x:c r="E2" s="21"/>
      <x:c r="F2" s="21"/>
      <x:c r="G2" s="21"/>
      <x:c r="H2" s="21"/>
    </x:row>
    <x:row r="3">
      <x:c r="A3" s="22"/>
      <x:c r="B3" s="22"/>
      <x:c r="C3" s="22"/>
      <x:c r="D3" s="22"/>
      <x:c r="E3" s="22"/>
      <x:c r="F3" s="22"/>
      <x:c r="G3" s="22"/>
      <x:c r="H3" s="22"/>
    </x:row>
    <x:row r="4" ht="38" customHeight="1">
      <x:c r="A4" s="23" t="str">
        <x:v>Objetivo: detectar errores silenciosos antes de aceptar una fórmula propuesta por una IA.</x:v>
      </x:c>
      <x:c r="B4" s="23"/>
      <x:c r="C4" s="23"/>
      <x:c r="D4" s="23"/>
      <x:c r="E4" s="23"/>
      <x:c r="F4" s="23"/>
      <x:c r="G4" s="23"/>
      <x:c r="H4" s="23"/>
    </x:row>
    <x:row r="5">
      <x:c r="A5" s="22"/>
      <x:c r="B5" s="22"/>
      <x:c r="C5" s="22"/>
      <x:c r="D5" s="22"/>
      <x:c r="E5" s="22"/>
      <x:c r="F5" s="22"/>
      <x:c r="G5" s="22"/>
      <x:c r="H5" s="22"/>
    </x:row>
    <x:row r="6">
      <x:c r="A6" s="24" t="str">
        <x:v>PASO</x:v>
      </x:c>
      <x:c r="B6" s="24" t="str">
        <x:v>ACCIÓN</x:v>
      </x:c>
      <x:c r="C6" s="22"/>
      <x:c r="D6" s="22"/>
      <x:c r="E6" s="22"/>
      <x:c r="F6" s="22"/>
      <x:c r="G6" s="22"/>
      <x:c r="H6" s="22"/>
    </x:row>
    <x:row r="7" ht="34" customHeight="1">
      <x:c r="A7" s="25" t="str">
        <x:v>1</x:v>
      </x:c>
      <x:c r="B7" s="26" t="str">
        <x:v>Abre la hoja Ventas y compara las columnas «propuesta IA» y «verificada».</x:v>
      </x:c>
      <x:c r="C7" s="22"/>
      <x:c r="D7" s="22"/>
      <x:c r="E7" s="22"/>
      <x:c r="F7" s="22"/>
      <x:c r="G7" s="22"/>
      <x:c r="H7" s="22"/>
    </x:row>
    <x:row r="8" ht="34" customHeight="1">
      <x:c r="A8" s="25" t="str">
        <x:v>2</x:v>
      </x:c>
      <x:c r="B8" s="26" t="str">
        <x:v>Lee cada fórmula: ¿qué columnas usa y qué supuesto omite?</x:v>
      </x:c>
      <x:c r="C8" s="22"/>
      <x:c r="D8" s="22"/>
      <x:c r="E8" s="22"/>
      <x:c r="F8" s="22"/>
      <x:c r="G8" s="22"/>
      <x:c r="H8" s="22"/>
    </x:row>
    <x:row r="9" ht="34" customHeight="1">
      <x:c r="A9" s="25" t="str">
        <x:v>3</x:v>
      </x:c>
      <x:c r="B9" s="26" t="str">
        <x:v>Filtra Control = REVISAR y explica por qué el número parece válido pero es incorrecto.</x:v>
      </x:c>
      <x:c r="C9" s="22"/>
      <x:c r="D9" s="22"/>
      <x:c r="E9" s="22"/>
      <x:c r="F9" s="22"/>
      <x:c r="G9" s="22"/>
      <x:c r="H9" s="22"/>
    </x:row>
    <x:row r="10" ht="34" customHeight="1">
      <x:c r="A10" s="25" t="str">
        <x:v>4</x:v>
      </x:c>
      <x:c r="B10" s="26" t="str">
        <x:v>Abre la hoja Control y comprueba las pruebas de fila, total y caso límite.</x:v>
      </x:c>
      <x:c r="C10" s="22"/>
      <x:c r="D10" s="22"/>
      <x:c r="E10" s="22"/>
      <x:c r="F10" s="22"/>
      <x:c r="G10" s="22"/>
      <x:c r="H10" s="22"/>
    </x:row>
    <x:row r="11" ht="34" customHeight="1">
      <x:c r="A11" s="25" t="str">
        <x:v>5</x:v>
      </x:c>
      <x:c r="B11" s="26" t="str">
        <x:v>No uses datos reales ni envíes este archivo a ningún asistente para completar el laboratorio.</x:v>
      </x:c>
      <x:c r="C11" s="22"/>
      <x:c r="D11" s="22"/>
      <x:c r="E11" s="22"/>
      <x:c r="F11" s="22"/>
      <x:c r="G11" s="22"/>
      <x:c r="H11" s="22"/>
    </x:row>
    <x:row r="12">
      <x:c r="A12" s="22"/>
      <x:c r="B12" s="22"/>
      <x:c r="C12" s="22"/>
      <x:c r="D12" s="22"/>
      <x:c r="E12" s="22"/>
      <x:c r="F12" s="22"/>
      <x:c r="G12" s="22"/>
      <x:c r="H12" s="22"/>
    </x:row>
    <x:row r="13" ht="42" customHeight="1">
      <x:c r="A13" s="27" t="str">
        <x:v>REGLA: la IA puede proponer una fórmula; el motor de la hoja, casos conocidos y una conciliación independiente deben demostrar que es correcta.</x:v>
      </x:c>
      <x:c r="B13" s="27"/>
      <x:c r="C13" s="27"/>
      <x:c r="D13" s="27"/>
      <x:c r="E13" s="27"/>
      <x:c r="F13" s="27"/>
      <x:c r="G13" s="27"/>
      <x:c r="H13" s="27"/>
    </x:row>
    <x:row r="14">
      <x:c r="A14" s="22"/>
      <x:c r="B14" s="22"/>
      <x:c r="C14" s="22"/>
      <x:c r="D14" s="22"/>
      <x:c r="E14" s="22"/>
      <x:c r="F14" s="22"/>
      <x:c r="G14" s="22"/>
      <x:c r="H14" s="22"/>
    </x:row>
    <x:row r="15">
      <x:c r="A15" s="28" t="str">
        <x:v>EVIDENCIA</x:v>
      </x:c>
      <x:c r="B15" s="28" t="str">
        <x:v>CRITERIO DE SALIDA</x:v>
      </x:c>
      <x:c r="C15" s="22"/>
      <x:c r="D15" s="22"/>
      <x:c r="E15" s="22"/>
      <x:c r="F15" s="22"/>
      <x:c r="G15" s="22"/>
      <x:c r="H15" s="22"/>
    </x:row>
    <x:row r="16">
      <x:c r="A16" s="29" t="str">
        <x:v>Filas revisadas</x:v>
      </x:c>
      <x:c r="B16" s="22" t="str">
        <x:v>12 de 12</x:v>
      </x:c>
      <x:c r="C16" s="22"/>
      <x:c r="D16" s="22"/>
      <x:c r="E16" s="22"/>
      <x:c r="F16" s="22"/>
      <x:c r="G16" s="22"/>
      <x:c r="H16" s="22"/>
    </x:row>
    <x:row r="17">
      <x:c r="A17" s="29" t="str">
        <x:v>Errores silenciosos detectados</x:v>
      </x:c>
      <x:c r="B17" s="22" t="str">
        <x:v>3 de 3</x:v>
      </x:c>
      <x:c r="C17" s="22"/>
      <x:c r="D17" s="22"/>
      <x:c r="E17" s="22"/>
      <x:c r="F17" s="22"/>
      <x:c r="G17" s="22"/>
      <x:c r="H17" s="22"/>
    </x:row>
    <x:row r="18">
      <x:c r="A18" s="29" t="str">
        <x:v>Diferencia del total</x:v>
      </x:c>
      <x:c r="B18" s="22" t="str">
        <x:v>Debe explicarse y quedar a 0 tras corregir</x:v>
      </x:c>
      <x:c r="C18" s="22"/>
      <x:c r="D18" s="22"/>
      <x:c r="E18" s="22"/>
      <x:c r="F18" s="22"/>
      <x:c r="G18" s="22"/>
      <x:c r="H18" s="22"/>
    </x:row>
    <x:row r="19">
      <x:c r="A19" s="29" t="str">
        <x:v>Casos límite</x:v>
      </x:c>
      <x:c r="B19" s="22" t="str">
        <x:v>Descuento cero, descuento aplicado y fila final</x:v>
      </x:c>
      <x:c r="C19" s="22"/>
      <x:c r="D19" s="22"/>
      <x:c r="E19" s="22"/>
      <x:c r="F19" s="22"/>
      <x:c r="G19" s="22"/>
      <x:c r="H19" s="22"/>
    </x:row>
    <x:row r="20">
      <x:c r="A20" s="29" t="str">
        <x:v>Decisión</x:v>
      </x:c>
      <x:c r="B20" s="22" t="str">
        <x:v>No entregar mientras exista un control REVISAR</x:v>
      </x:c>
      <x:c r="C20" s="22"/>
      <x:c r="D20" s="22"/>
      <x:c r="E20" s="22"/>
      <x:c r="F20" s="22"/>
      <x:c r="G20" s="22"/>
      <x:c r="H20" s="22"/>
    </x:row>
    <x:row r="21">
      <x:c r="A21" s="22"/>
      <x:c r="B21" s="22"/>
      <x:c r="C21" s="22"/>
      <x:c r="D21" s="22"/>
      <x:c r="E21" s="22"/>
      <x:c r="F21" s="22"/>
      <x:c r="G21" s="22"/>
      <x:c r="H21" s="22"/>
    </x:row>
    <x:row r="22" ht="30" customHeight="1">
      <x:c r="A22" s="30" t="str">
        <x:v>Datos completamente sintéticos. Los identificadores DEMO no representan clientes. Verificado: 2026-07-27.
Fuentes: https://support.microsoft.com/en-us/excel/functions/copilot-function · https://support.microsoft.com/en-US/Excel/copilot/frequently-asked-questions-about-copilot-in-excel · https://support.claude.com/en/articles/12650343-use-claude-for-excel</x:v>
      </x:c>
      <x:c r="B22" s="30"/>
      <x:c r="C22" s="30"/>
      <x:c r="D22" s="30"/>
      <x:c r="E22" s="30"/>
      <x:c r="F22" s="30"/>
      <x:c r="G22" s="30"/>
      <x:c r="H22" s="30"/>
    </x:row>
    <x:row r="23" ht="30" customHeight="1">
      <x:c r="A23" s="30"/>
      <x:c r="B23" s="30"/>
      <x:c r="C23" s="30"/>
      <x:c r="D23" s="30"/>
      <x:c r="E23" s="30"/>
      <x:c r="F23" s="30"/>
      <x:c r="G23" s="30"/>
      <x:c r="H23" s="30"/>
    </x:row>
    <x:row r="24" ht="30" customHeight="1">
      <x:c r="A24" s="30"/>
      <x:c r="B24" s="30"/>
      <x:c r="C24" s="30"/>
      <x:c r="D24" s="30"/>
      <x:c r="E24" s="30"/>
      <x:c r="F24" s="30"/>
      <x:c r="G24" s="30"/>
      <x:c r="H24" s="30"/>
    </x:row>
  </x:sheetData>
  <x:mergeCells>
    <x:mergeCell ref="A1:H2"/>
    <x:mergeCell ref="A4:H4"/>
    <x:mergeCell ref="A13:H13"/>
    <x:mergeCell ref="A22:H2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3" hidden="0" customWidth="1"/>
    <x:col min="3" max="3" width="14" hidden="0" customWidth="1"/>
    <x:col min="4" max="4" width="14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3" hidden="0" customWidth="1"/>
  </x:cols>
  <x:sheetData>
    <x:row r="1" ht="40" customHeight="1">
      <x:c r="A1" s="41" t="str">
        <x:v>ID ficticio</x:v>
      </x:c>
      <x:c r="B1" s="41" t="str">
        <x:v>Fecha</x:v>
      </x:c>
      <x:c r="C1" s="41" t="str">
        <x:v>Región</x:v>
      </x:c>
      <x:c r="D1" s="41" t="str">
        <x:v>Producto</x:v>
      </x:c>
      <x:c r="E1" s="41" t="str">
        <x:v>Unidades</x:v>
      </x:c>
      <x:c r="F1" s="41" t="str">
        <x:v>Precio</x:v>
      </x:c>
      <x:c r="G1" s="41" t="str">
        <x:v>Coste/u</x:v>
      </x:c>
      <x:c r="H1" s="41" t="str">
        <x:v>Descuento</x:v>
      </x:c>
      <x:c r="I1" s="41" t="str">
        <x:v>Ventas propuesta IA</x:v>
      </x:c>
      <x:c r="J1" s="41" t="str">
        <x:v>Ventas verificadas</x:v>
      </x:c>
      <x:c r="K1" s="41" t="str">
        <x:v>Margen propuesta IA</x:v>
      </x:c>
      <x:c r="L1" s="41" t="str">
        <x:v>Margen verificado</x:v>
      </x:c>
      <x:c r="M1" s="41" t="str">
        <x:v>Control</x:v>
      </x:c>
    </x:row>
    <x:row r="2">
      <x:c r="A2" s="42" t="str">
        <x:v>DEMO-001</x:v>
      </x:c>
      <x:c r="B2" s="43" t="n">
        <x:v>46175</x:v>
      </x:c>
      <x:c r="C2" s="42" t="str">
        <x:v>Norte</x:v>
      </x:c>
      <x:c r="D2" s="42" t="str">
        <x:v>Servicio A</x:v>
      </x:c>
      <x:c r="E2" s="42" t="n">
        <x:v>2</x:v>
      </x:c>
      <x:c r="F2" s="44" t="n">
        <x:v>120</x:v>
      </x:c>
      <x:c r="G2" s="44" t="n">
        <x:v>45</x:v>
      </x:c>
      <x:c r="H2" s="45" t="n">
        <x:v>0</x:v>
      </x:c>
      <x:c r="I2" s="46" t="n">
        <x:f>E2*F2</x:f>
        <x:v>240</x:v>
      </x:c>
      <x:c r="J2" s="47" t="n">
        <x:f>E2*F2*(1-H2)</x:f>
        <x:v>240</x:v>
      </x:c>
      <x:c r="K2" s="46" t="n">
        <x:f>I2-(E2*G2)</x:f>
        <x:v>150</x:v>
      </x:c>
      <x:c r="L2" s="47" t="n">
        <x:f>J2-(E2*G2)</x:f>
        <x:v>150</x:v>
      </x:c>
      <x:c r="M2" s="22" t="str">
        <x:f>IF(ABS(I2-J2)&lt;0.01,"OK","REVISAR")</x:f>
        <x:v>OK</x:v>
      </x:c>
    </x:row>
    <x:row r="3">
      <x:c r="A3" s="42" t="str">
        <x:v>DEMO-002</x:v>
      </x:c>
      <x:c r="B3" s="43" t="n">
        <x:v>46176</x:v>
      </x:c>
      <x:c r="C3" s="42" t="str">
        <x:v>Sur</x:v>
      </x:c>
      <x:c r="D3" s="42" t="str">
        <x:v>Servicio B</x:v>
      </x:c>
      <x:c r="E3" s="42" t="n">
        <x:v>1</x:v>
      </x:c>
      <x:c r="F3" s="44" t="n">
        <x:v>300</x:v>
      </x:c>
      <x:c r="G3" s="44" t="n">
        <x:v>120</x:v>
      </x:c>
      <x:c r="H3" s="45" t="n">
        <x:v>0.1</x:v>
      </x:c>
      <x:c r="I3" s="46" t="n">
        <x:f>E3*F3</x:f>
        <x:v>300</x:v>
      </x:c>
      <x:c r="J3" s="47" t="n">
        <x:f>E3*F3*(1-H3)</x:f>
        <x:v>270</x:v>
      </x:c>
      <x:c r="K3" s="46" t="n">
        <x:f>I3-(E3*G3)</x:f>
        <x:v>180</x:v>
      </x:c>
      <x:c r="L3" s="47" t="n">
        <x:f>J3-(E3*G3)</x:f>
        <x:v>150</x:v>
      </x:c>
      <x:c r="M3" s="22" t="str">
        <x:f>IF(ABS(I3-J3)&lt;0.01,"OK","REVISAR")</x:f>
        <x:v>REVISAR</x:v>
      </x:c>
    </x:row>
    <x:row r="4">
      <x:c r="A4" s="42" t="str">
        <x:v>DEMO-003</x:v>
      </x:c>
      <x:c r="B4" s="43" t="n">
        <x:v>46178</x:v>
      </x:c>
      <x:c r="C4" s="42" t="str">
        <x:v>Este</x:v>
      </x:c>
      <x:c r="D4" s="42" t="str">
        <x:v>Servicio A</x:v>
      </x:c>
      <x:c r="E4" s="42" t="n">
        <x:v>3</x:v>
      </x:c>
      <x:c r="F4" s="44" t="n">
        <x:v>120</x:v>
      </x:c>
      <x:c r="G4" s="44" t="n">
        <x:v>45</x:v>
      </x:c>
      <x:c r="H4" s="45" t="n">
        <x:v>0</x:v>
      </x:c>
      <x:c r="I4" s="46" t="n">
        <x:f>E4*F4</x:f>
        <x:v>360</x:v>
      </x:c>
      <x:c r="J4" s="47" t="n">
        <x:f>E4*F4*(1-H4)</x:f>
        <x:v>360</x:v>
      </x:c>
      <x:c r="K4" s="46" t="n">
        <x:f>I4-(E4*G4)</x:f>
        <x:v>225</x:v>
      </x:c>
      <x:c r="L4" s="47" t="n">
        <x:f>J4-(E4*G4)</x:f>
        <x:v>225</x:v>
      </x:c>
      <x:c r="M4" s="22" t="str">
        <x:f>IF(ABS(I4-J4)&lt;0.01,"OK","REVISAR")</x:f>
        <x:v>OK</x:v>
      </x:c>
    </x:row>
    <x:row r="5">
      <x:c r="A5" s="42" t="str">
        <x:v>DEMO-004</x:v>
      </x:c>
      <x:c r="B5" s="43" t="n">
        <x:v>46181</x:v>
      </x:c>
      <x:c r="C5" s="42" t="str">
        <x:v>Oeste</x:v>
      </x:c>
      <x:c r="D5" s="42" t="str">
        <x:v>Servicio C</x:v>
      </x:c>
      <x:c r="E5" s="42" t="n">
        <x:v>4</x:v>
      </x:c>
      <x:c r="F5" s="44" t="n">
        <x:v>80</x:v>
      </x:c>
      <x:c r="G5" s="44" t="n">
        <x:v>30</x:v>
      </x:c>
      <x:c r="H5" s="45" t="n">
        <x:v>0</x:v>
      </x:c>
      <x:c r="I5" s="46" t="n">
        <x:f>E5*F5</x:f>
        <x:v>320</x:v>
      </x:c>
      <x:c r="J5" s="47" t="n">
        <x:f>E5*F5*(1-H5)</x:f>
        <x:v>320</x:v>
      </x:c>
      <x:c r="K5" s="46" t="n">
        <x:f>I5-(E5*G5)</x:f>
        <x:v>200</x:v>
      </x:c>
      <x:c r="L5" s="47" t="n">
        <x:f>J5-(E5*G5)</x:f>
        <x:v>200</x:v>
      </x:c>
      <x:c r="M5" s="22" t="str">
        <x:f>IF(ABS(I5-J5)&lt;0.01,"OK","REVISAR")</x:f>
        <x:v>OK</x:v>
      </x:c>
    </x:row>
    <x:row r="6">
      <x:c r="A6" s="42" t="str">
        <x:v>DEMO-005</x:v>
      </x:c>
      <x:c r="B6" s="43" t="n">
        <x:v>46183</x:v>
      </x:c>
      <x:c r="C6" s="42" t="str">
        <x:v>Norte</x:v>
      </x:c>
      <x:c r="D6" s="42" t="str">
        <x:v>Servicio B</x:v>
      </x:c>
      <x:c r="E6" s="42" t="n">
        <x:v>2</x:v>
      </x:c>
      <x:c r="F6" s="44" t="n">
        <x:v>300</x:v>
      </x:c>
      <x:c r="G6" s="44" t="n">
        <x:v>120</x:v>
      </x:c>
      <x:c r="H6" s="45" t="n">
        <x:v>0.05</x:v>
      </x:c>
      <x:c r="I6" s="46" t="n">
        <x:f>E6*F6</x:f>
        <x:v>600</x:v>
      </x:c>
      <x:c r="J6" s="47" t="n">
        <x:f>E6*F6*(1-H6)</x:f>
        <x:v>570</x:v>
      </x:c>
      <x:c r="K6" s="46" t="n">
        <x:f>I6-(E6*G6)</x:f>
        <x:v>360</x:v>
      </x:c>
      <x:c r="L6" s="47" t="n">
        <x:f>J6-(E6*G6)</x:f>
        <x:v>330</x:v>
      </x:c>
      <x:c r="M6" s="22" t="str">
        <x:f>IF(ABS(I6-J6)&lt;0.01,"OK","REVISAR")</x:f>
        <x:v>REVISAR</x:v>
      </x:c>
    </x:row>
    <x:row r="7">
      <x:c r="A7" s="42" t="str">
        <x:v>DEMO-006</x:v>
      </x:c>
      <x:c r="B7" s="43" t="n">
        <x:v>46185</x:v>
      </x:c>
      <x:c r="C7" s="42" t="str">
        <x:v>Sur</x:v>
      </x:c>
      <x:c r="D7" s="42" t="str">
        <x:v>Servicio C</x:v>
      </x:c>
      <x:c r="E7" s="42" t="n">
        <x:v>5</x:v>
      </x:c>
      <x:c r="F7" s="44" t="n">
        <x:v>80</x:v>
      </x:c>
      <x:c r="G7" s="44" t="n">
        <x:v>30</x:v>
      </x:c>
      <x:c r="H7" s="45" t="n">
        <x:v>0</x:v>
      </x:c>
      <x:c r="I7" s="46" t="n">
        <x:f>E7*F7</x:f>
        <x:v>400</x:v>
      </x:c>
      <x:c r="J7" s="47" t="n">
        <x:f>E7*F7*(1-H7)</x:f>
        <x:v>400</x:v>
      </x:c>
      <x:c r="K7" s="46" t="n">
        <x:f>I7-(E7*G7)</x:f>
        <x:v>250</x:v>
      </x:c>
      <x:c r="L7" s="47" t="n">
        <x:f>J7-(E7*G7)</x:f>
        <x:v>250</x:v>
      </x:c>
      <x:c r="M7" s="22" t="str">
        <x:f>IF(ABS(I7-J7)&lt;0.01,"OK","REVISAR")</x:f>
        <x:v>OK</x:v>
      </x:c>
    </x:row>
    <x:row r="8">
      <x:c r="A8" s="42" t="str">
        <x:v>DEMO-007</x:v>
      </x:c>
      <x:c r="B8" s="43" t="n">
        <x:v>46188</x:v>
      </x:c>
      <x:c r="C8" s="42" t="str">
        <x:v>Este</x:v>
      </x:c>
      <x:c r="D8" s="42" t="str">
        <x:v>Servicio A</x:v>
      </x:c>
      <x:c r="E8" s="42" t="n">
        <x:v>1</x:v>
      </x:c>
      <x:c r="F8" s="44" t="n">
        <x:v>120</x:v>
      </x:c>
      <x:c r="G8" s="44" t="n">
        <x:v>45</x:v>
      </x:c>
      <x:c r="H8" s="45" t="n">
        <x:v>0</x:v>
      </x:c>
      <x:c r="I8" s="46" t="n">
        <x:f>E8*F8</x:f>
        <x:v>120</x:v>
      </x:c>
      <x:c r="J8" s="47" t="n">
        <x:f>E8*F8*(1-H8)</x:f>
        <x:v>120</x:v>
      </x:c>
      <x:c r="K8" s="46" t="n">
        <x:f>I8-(E8*G8)</x:f>
        <x:v>75</x:v>
      </x:c>
      <x:c r="L8" s="47" t="n">
        <x:f>J8-(E8*G8)</x:f>
        <x:v>75</x:v>
      </x:c>
      <x:c r="M8" s="22" t="str">
        <x:f>IF(ABS(I8-J8)&lt;0.01,"OK","REVISAR")</x:f>
        <x:v>OK</x:v>
      </x:c>
    </x:row>
    <x:row r="9">
      <x:c r="A9" s="42" t="str">
        <x:v>DEMO-008</x:v>
      </x:c>
      <x:c r="B9" s="43" t="n">
        <x:v>46190</x:v>
      </x:c>
      <x:c r="C9" s="42" t="str">
        <x:v>Oeste</x:v>
      </x:c>
      <x:c r="D9" s="42" t="str">
        <x:v>Servicio B</x:v>
      </x:c>
      <x:c r="E9" s="42" t="n">
        <x:v>2</x:v>
      </x:c>
      <x:c r="F9" s="44" t="n">
        <x:v>300</x:v>
      </x:c>
      <x:c r="G9" s="44" t="n">
        <x:v>120</x:v>
      </x:c>
      <x:c r="H9" s="45" t="n">
        <x:v>0</x:v>
      </x:c>
      <x:c r="I9" s="46" t="n">
        <x:f>E9*F9</x:f>
        <x:v>600</x:v>
      </x:c>
      <x:c r="J9" s="47" t="n">
        <x:f>E9*F9*(1-H9)</x:f>
        <x:v>600</x:v>
      </x:c>
      <x:c r="K9" s="46" t="n">
        <x:f>I9-(E9*G9)</x:f>
        <x:v>360</x:v>
      </x:c>
      <x:c r="L9" s="47" t="n">
        <x:f>J9-(E9*G9)</x:f>
        <x:v>360</x:v>
      </x:c>
      <x:c r="M9" s="22" t="str">
        <x:f>IF(ABS(I9-J9)&lt;0.01,"OK","REVISAR")</x:f>
        <x:v>OK</x:v>
      </x:c>
    </x:row>
    <x:row r="10">
      <x:c r="A10" s="42" t="str">
        <x:v>DEMO-009</x:v>
      </x:c>
      <x:c r="B10" s="43" t="n">
        <x:v>46192</x:v>
      </x:c>
      <x:c r="C10" s="42" t="str">
        <x:v>Norte</x:v>
      </x:c>
      <x:c r="D10" s="42" t="str">
        <x:v>Servicio C</x:v>
      </x:c>
      <x:c r="E10" s="42" t="n">
        <x:v>3</x:v>
      </x:c>
      <x:c r="F10" s="44" t="n">
        <x:v>80</x:v>
      </x:c>
      <x:c r="G10" s="44" t="n">
        <x:v>30</x:v>
      </x:c>
      <x:c r="H10" s="45" t="n">
        <x:v>0.15</x:v>
      </x:c>
      <x:c r="I10" s="46" t="n">
        <x:f>E10*F10</x:f>
        <x:v>240</x:v>
      </x:c>
      <x:c r="J10" s="47" t="n">
        <x:f>E10*F10*(1-H10)</x:f>
        <x:v>204</x:v>
      </x:c>
      <x:c r="K10" s="46" t="n">
        <x:f>I10-(E10*G10)</x:f>
        <x:v>150</x:v>
      </x:c>
      <x:c r="L10" s="47" t="n">
        <x:f>J10-(E10*G10)</x:f>
        <x:v>114</x:v>
      </x:c>
      <x:c r="M10" s="22" t="str">
        <x:f>IF(ABS(I10-J10)&lt;0.01,"OK","REVISAR")</x:f>
        <x:v>REVISAR</x:v>
      </x:c>
    </x:row>
    <x:row r="11">
      <x:c r="A11" s="42" t="str">
        <x:v>DEMO-010</x:v>
      </x:c>
      <x:c r="B11" s="43" t="n">
        <x:v>46195</x:v>
      </x:c>
      <x:c r="C11" s="42" t="str">
        <x:v>Sur</x:v>
      </x:c>
      <x:c r="D11" s="42" t="str">
        <x:v>Servicio A</x:v>
      </x:c>
      <x:c r="E11" s="42" t="n">
        <x:v>4</x:v>
      </x:c>
      <x:c r="F11" s="44" t="n">
        <x:v>120</x:v>
      </x:c>
      <x:c r="G11" s="44" t="n">
        <x:v>45</x:v>
      </x:c>
      <x:c r="H11" s="45" t="n">
        <x:v>0</x:v>
      </x:c>
      <x:c r="I11" s="46" t="n">
        <x:f>E11*F11</x:f>
        <x:v>480</x:v>
      </x:c>
      <x:c r="J11" s="47" t="n">
        <x:f>E11*F11*(1-H11)</x:f>
        <x:v>480</x:v>
      </x:c>
      <x:c r="K11" s="46" t="n">
        <x:f>I11-(E11*G11)</x:f>
        <x:v>300</x:v>
      </x:c>
      <x:c r="L11" s="47" t="n">
        <x:f>J11-(E11*G11)</x:f>
        <x:v>300</x:v>
      </x:c>
      <x:c r="M11" s="22" t="str">
        <x:f>IF(ABS(I11-J11)&lt;0.01,"OK","REVISAR")</x:f>
        <x:v>OK</x:v>
      </x:c>
    </x:row>
    <x:row r="12">
      <x:c r="A12" s="42" t="str">
        <x:v>DEMO-011</x:v>
      </x:c>
      <x:c r="B12" s="43" t="n">
        <x:v>46198</x:v>
      </x:c>
      <x:c r="C12" s="42" t="str">
        <x:v>Este</x:v>
      </x:c>
      <x:c r="D12" s="42" t="str">
        <x:v>Servicio B</x:v>
      </x:c>
      <x:c r="E12" s="42" t="n">
        <x:v>1</x:v>
      </x:c>
      <x:c r="F12" s="44" t="n">
        <x:v>300</x:v>
      </x:c>
      <x:c r="G12" s="44" t="n">
        <x:v>120</x:v>
      </x:c>
      <x:c r="H12" s="45" t="n">
        <x:v>0</x:v>
      </x:c>
      <x:c r="I12" s="46" t="n">
        <x:f>E12*F12</x:f>
        <x:v>300</x:v>
      </x:c>
      <x:c r="J12" s="47" t="n">
        <x:f>E12*F12*(1-H12)</x:f>
        <x:v>300</x:v>
      </x:c>
      <x:c r="K12" s="46" t="n">
        <x:f>I12-(E12*G12)</x:f>
        <x:v>180</x:v>
      </x:c>
      <x:c r="L12" s="47" t="n">
        <x:f>J12-(E12*G12)</x:f>
        <x:v>180</x:v>
      </x:c>
      <x:c r="M12" s="22" t="str">
        <x:f>IF(ABS(I12-J12)&lt;0.01,"OK","REVISAR")</x:f>
        <x:v>OK</x:v>
      </x:c>
    </x:row>
    <x:row r="13">
      <x:c r="A13" s="42" t="str">
        <x:v>DEMO-012</x:v>
      </x:c>
      <x:c r="B13" s="43" t="n">
        <x:v>46202</x:v>
      </x:c>
      <x:c r="C13" s="42" t="str">
        <x:v>Oeste</x:v>
      </x:c>
      <x:c r="D13" s="42" t="str">
        <x:v>Servicio C</x:v>
      </x:c>
      <x:c r="E13" s="42" t="n">
        <x:v>2</x:v>
      </x:c>
      <x:c r="F13" s="44" t="n">
        <x:v>80</x:v>
      </x:c>
      <x:c r="G13" s="44" t="n">
        <x:v>30</x:v>
      </x:c>
      <x:c r="H13" s="45" t="n">
        <x:v>0</x:v>
      </x:c>
      <x:c r="I13" s="46" t="n">
        <x:f>E13*F13</x:f>
        <x:v>160</x:v>
      </x:c>
      <x:c r="J13" s="47" t="n">
        <x:f>E13*F13*(1-H13)</x:f>
        <x:v>160</x:v>
      </x:c>
      <x:c r="K13" s="46" t="n">
        <x:f>I13-(E13*G13)</x:f>
        <x:v>100</x:v>
      </x:c>
      <x:c r="L13" s="47" t="n">
        <x:f>J13-(E13*G13)</x:f>
        <x:v>100</x:v>
      </x:c>
      <x:c r="M13" s="22" t="str">
        <x:f>IF(ABS(I13-J13)&lt;0.01,"OK","REVISAR")</x:f>
        <x:v>OK</x:v>
      </x:c>
    </x:row>
    <x:row r="14">
      <x:c r="A14" s="22"/>
      <x:c r="B14" s="22"/>
      <x:c r="C14" s="22"/>
      <x:c r="D14" s="22"/>
      <x:c r="E14" s="22"/>
      <x:c r="F14" s="22"/>
      <x:c r="G14" s="22"/>
      <x:c r="H14" s="22"/>
      <x:c r="I14" s="46"/>
      <x:c r="J14" s="47"/>
      <x:c r="K14" s="46"/>
      <x:c r="L14" s="47"/>
      <x:c r="M14" s="22"/>
    </x:row>
    <x:row r="15">
      <x:c r="A15" s="48" t="str">
        <x:v>Total propuesto por IA (además omite la última fila)</x:v>
      </x:c>
      <x:c r="B15" s="48"/>
      <x:c r="C15" s="48"/>
      <x:c r="D15" s="48"/>
      <x:c r="E15" s="48"/>
      <x:c r="F15" s="48"/>
      <x:c r="G15" s="48"/>
      <x:c r="H15" s="48"/>
      <x:c r="I15" s="49" t="n">
        <x:f>SUM(I2:I12)</x:f>
        <x:v>3960</x:v>
      </x:c>
      <x:c r="J15" s="49" t="n">
        <x:f>SUM(J2:J13)</x:f>
        <x:v>4024</x:v>
      </x:c>
      <x:c r="K15" s="49" t="n">
        <x:f>SUM(K2:K12)</x:f>
        <x:v>2430</x:v>
      </x:c>
      <x:c r="L15" s="49" t="n">
        <x:f>SUM(L2:L13)</x:f>
        <x:v>2434</x:v>
      </x:c>
      <x:c r="M15" s="48" t="str">
        <x:f>IF(AND(ABS(I15-J15)&lt;0.01,ABS(K15-L15)&lt;0.01),"OK","REVISAR")</x:f>
        <x:v>REVISAR</x:v>
      </x:c>
    </x:row>
  </x:sheetData>
  <x:mergeCells>
    <x:mergeCell ref="A15:H15"/>
  </x:mergeCells>
  <x:conditionalFormatting sqref="M2:M15">
    <x:cfRule type="containsText" dxfId="0" priority="1" operator="containsText" text="REVISAR"/>
    <x:cfRule type="containsText" dxfId="1" priority="2" operator="containsText" text="OK"/>
  </x:conditionalFormatting>
  <x:pageMargins left="0.7" right="0.7" top="0.75" bottom="0.75" header="0.3" footer="0.3"/>
  <x:tableParts count="1">
    <x:tablePart xmlns:r="http://schemas.openxmlformats.org/officeDocument/2006/relationships" r:id="Rb2bb716ca5e7496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18" hidden="0" customWidth="1"/>
    <x:col min="3" max="3" width="18" hidden="0" customWidth="1"/>
    <x:col min="4" max="4" width="18" hidden="0" customWidth="1"/>
    <x:col min="5" max="5" width="14" hidden="0" customWidth="1"/>
    <x:col min="6" max="6" width="48" hidden="0" customWidth="1"/>
  </x:cols>
  <x:sheetData>
    <x:row r="1" ht="30" customHeight="1">
      <x:c r="A1" s="64" t="str">
        <x:v>Control independiente</x:v>
      </x:c>
      <x:c r="B1" s="64"/>
      <x:c r="C1" s="64"/>
      <x:c r="D1" s="64"/>
      <x:c r="E1" s="64"/>
      <x:c r="F1" s="64"/>
    </x:row>
    <x:row r="2" ht="30" customHeight="1">
      <x:c r="A2" s="64"/>
      <x:c r="B2" s="64"/>
      <x:c r="C2" s="64"/>
      <x:c r="D2" s="64"/>
      <x:c r="E2" s="64"/>
      <x:c r="F2" s="64"/>
    </x:row>
    <x:row r="3">
      <x:c r="A3" s="22"/>
      <x:c r="B3" s="22"/>
      <x:c r="C3" s="22"/>
      <x:c r="D3" s="22"/>
      <x:c r="E3" s="22"/>
      <x:c r="F3" s="22"/>
    </x:row>
    <x:row r="4" ht="36" customHeight="1">
      <x:c r="A4" s="65" t="str">
        <x:v>Prueba</x:v>
      </x:c>
      <x:c r="B4" s="65" t="str">
        <x:v>Esperado</x:v>
      </x:c>
      <x:c r="C4" s="65" t="str">
        <x:v>Propuesta IA</x:v>
      </x:c>
      <x:c r="D4" s="65" t="str">
        <x:v>Diferencia</x:v>
      </x:c>
      <x:c r="E4" s="65" t="str">
        <x:v>Estado</x:v>
      </x:c>
      <x:c r="F4" s="65" t="str">
        <x:v>Qué demuestra</x:v>
      </x:c>
    </x:row>
    <x:row r="5" ht="28" customHeight="1">
      <x:c r="A5" s="66" t="str">
        <x:v>Fila sin descuento (DEMO-001)</x:v>
      </x:c>
      <x:c r="B5" s="67" t="n">
        <x:v>240</x:v>
      </x:c>
      <x:c r="C5" s="67" t="n">
        <x:f>'Ventas'!I2</x:f>
        <x:v>240</x:v>
      </x:c>
      <x:c r="D5" s="67" t="n">
        <x:f>C5-B5</x:f>
        <x:v>0</x:v>
      </x:c>
      <x:c r="E5" s="68" t="str">
        <x:f>IF(ABS(D5)&lt;0.01,"OK","REVISAR")</x:f>
        <x:v>OK</x:v>
      </x:c>
      <x:c r="F5" s="69" t="str">
        <x:v>La fórmula coincide en el caso fácil</x:v>
      </x:c>
    </x:row>
    <x:row r="6" ht="28" customHeight="1">
      <x:c r="A6" s="70" t="str">
        <x:v>Fila con 10% descuento (DEMO-002)</x:v>
      </x:c>
      <x:c r="B6" s="71" t="n">
        <x:v>270</x:v>
      </x:c>
      <x:c r="C6" s="71" t="n">
        <x:f>'Ventas'!I3</x:f>
        <x:v>300</x:v>
      </x:c>
      <x:c r="D6" s="71" t="n">
        <x:f>C6-B6</x:f>
        <x:v>30</x:v>
      </x:c>
      <x:c r="E6" s="72" t="str">
        <x:f>IF(ABS(D6)&lt;0.01,"OK","REVISAR")</x:f>
        <x:v>REVISAR</x:v>
      </x:c>
      <x:c r="F6" s="73" t="str">
        <x:v>Detecta que la propuesta omite el descuento</x:v>
      </x:c>
    </x:row>
    <x:row r="7" ht="28" customHeight="1">
      <x:c r="A7" s="70" t="str">
        <x:v>Fila con 15% descuento (DEMO-009)</x:v>
      </x:c>
      <x:c r="B7" s="71" t="n">
        <x:v>204</x:v>
      </x:c>
      <x:c r="C7" s="71" t="n">
        <x:f>'Ventas'!I10</x:f>
        <x:v>240</x:v>
      </x:c>
      <x:c r="D7" s="71" t="n">
        <x:f>C7-B7</x:f>
        <x:v>36</x:v>
      </x:c>
      <x:c r="E7" s="72" t="str">
        <x:f>IF(ABS(D7)&lt;0.01,"OK","REVISAR")</x:f>
        <x:v>REVISAR</x:v>
      </x:c>
      <x:c r="F7" s="73" t="str">
        <x:v>Repite el caso límite con otro valor</x:v>
      </x:c>
    </x:row>
    <x:row r="8" ht="28" customHeight="1">
      <x:c r="A8" s="70" t="str">
        <x:v>Total de ventas</x:v>
      </x:c>
      <x:c r="B8" s="71" t="n">
        <x:f>'Ventas'!J15</x:f>
        <x:v>4024</x:v>
      </x:c>
      <x:c r="C8" s="71" t="n">
        <x:f>'Ventas'!I15</x:f>
        <x:v>3960</x:v>
      </x:c>
      <x:c r="D8" s="71" t="n">
        <x:f>C8-B8</x:f>
        <x:v>-64</x:v>
      </x:c>
      <x:c r="E8" s="72" t="str">
        <x:f>IF(ABS(D8)&lt;0.01,"OK","REVISAR")</x:f>
        <x:v>REVISAR</x:v>
      </x:c>
      <x:c r="F8" s="73" t="str">
        <x:v>Conciliación de todas las filas</x:v>
      </x:c>
    </x:row>
    <x:row r="9" ht="28" customHeight="1">
      <x:c r="A9" s="74" t="str">
        <x:v>Margen total</x:v>
      </x:c>
      <x:c r="B9" s="75" t="n">
        <x:f>'Ventas'!L15</x:f>
        <x:v>2434</x:v>
      </x:c>
      <x:c r="C9" s="75" t="n">
        <x:f>'Ventas'!K15</x:f>
        <x:v>2430</x:v>
      </x:c>
      <x:c r="D9" s="75" t="n">
        <x:f>C9-B9</x:f>
        <x:v>-4</x:v>
      </x:c>
      <x:c r="E9" s="76" t="str">
        <x:f>IF(ABS(D9)&lt;0.01,"OK","REVISAR")</x:f>
        <x:v>REVISAR</x:v>
      </x:c>
      <x:c r="F9" s="77" t="str">
        <x:v>Comprueba el efecto del error en un KPI</x:v>
      </x:c>
    </x:row>
    <x:row r="10">
      <x:c r="A10" s="22"/>
      <x:c r="B10" s="22"/>
      <x:c r="C10" s="22"/>
      <x:c r="D10" s="22"/>
      <x:c r="E10" s="22"/>
      <x:c r="F10" s="22"/>
    </x:row>
    <x:row r="11" ht="38" customHeight="1">
      <x:c r="A11" s="27" t="str">
        <x:v>La propuesta solo supera la prueba fácil. Un número plausible no demuestra que la fórmula sea correcta.</x:v>
      </x:c>
      <x:c r="B11" s="27"/>
      <x:c r="C11" s="27"/>
      <x:c r="D11" s="27"/>
      <x:c r="E11" s="27"/>
      <x:c r="F11" s="27"/>
    </x:row>
    <x:row r="12">
      <x:c r="A12" s="22"/>
      <x:c r="B12" s="22"/>
      <x:c r="C12" s="22"/>
      <x:c r="D12" s="22"/>
      <x:c r="E12" s="22"/>
      <x:c r="F12" s="22"/>
    </x:row>
    <x:row r="13">
      <x:c r="A13" s="28" t="str">
        <x:v>COMPROBACIÓN MANUAL</x:v>
      </x:c>
      <x:c r="B13" s="28" t="str">
        <x:v>RESULTADO</x:v>
      </x:c>
      <x:c r="C13" s="22"/>
      <x:c r="D13" s="22"/>
      <x:c r="E13" s="22"/>
      <x:c r="F13" s="22"/>
    </x:row>
    <x:row r="14">
      <x:c r="A14" s="29" t="str">
        <x:v>Mostrar fórmulas y leer referencias</x:v>
      </x:c>
      <x:c r="B14" s="22" t="str">
        <x:v>Pendiente</x:v>
      </x:c>
      <x:c r="C14" s="22"/>
      <x:c r="D14" s="22"/>
      <x:c r="E14" s="22"/>
      <x:c r="F14" s="22"/>
    </x:row>
    <x:row r="15">
      <x:c r="A15" s="29" t="str">
        <x:v>Rastrear precedentes de I3</x:v>
      </x:c>
      <x:c r="B15" s="22" t="str">
        <x:v>Pendiente</x:v>
      </x:c>
      <x:c r="C15" s="22"/>
      <x:c r="D15" s="22"/>
      <x:c r="E15" s="22"/>
      <x:c r="F15" s="22"/>
    </x:row>
    <x:row r="16">
      <x:c r="A16" s="29" t="str">
        <x:v>Probar descuento 0, 10% y 15%</x:v>
      </x:c>
      <x:c r="B16" s="22" t="str">
        <x:v>Pendiente</x:v>
      </x:c>
      <x:c r="C16" s="22"/>
      <x:c r="D16" s="22"/>
      <x:c r="E16" s="22"/>
      <x:c r="F16" s="22"/>
    </x:row>
    <x:row r="17">
      <x:c r="A17" s="29" t="str">
        <x:v>Conciliar total con suma independiente</x:v>
      </x:c>
      <x:c r="B17" s="22" t="str">
        <x:v>Pendiente</x:v>
      </x:c>
      <x:c r="C17" s="22"/>
      <x:c r="D17" s="22"/>
      <x:c r="E17" s="22"/>
      <x:c r="F17" s="22"/>
    </x:row>
    <x:row r="18">
      <x:c r="A18" s="29" t="str">
        <x:v>Guardar copia antes de corregir</x:v>
      </x:c>
      <x:c r="B18" s="22" t="str">
        <x:v>Pendiente</x:v>
      </x:c>
      <x:c r="C18" s="22"/>
      <x:c r="D18" s="22"/>
      <x:c r="E18" s="22"/>
      <x:c r="F18" s="22"/>
    </x:row>
  </x:sheetData>
  <x:mergeCells>
    <x:mergeCell ref="A1:F2"/>
    <x:mergeCell ref="A11:F11"/>
  </x:mergeCells>
  <x:conditionalFormatting sqref="E5:E9">
    <x:cfRule type="containsText" dxfId="2" priority="1" operator="containsText" text="REVISAR"/>
    <x:cfRule type="containsText" dxfId="3" priority="2" operator="containsText" text="OK"/>
  </x:conditionalFormatting>
  <x:pageMargins left="0.7" right="0.7" top="0.75" bottom="0.75" header="0.3" footer="0.3"/>
</x:worksheet>
</file>